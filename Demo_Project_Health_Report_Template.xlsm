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Last Files\Misc\Business\Product\"/>
    </mc:Choice>
  </mc:AlternateContent>
  <xr:revisionPtr revIDLastSave="0" documentId="13_ncr:1_{A3DD521E-A4E0-4A1F-98BA-6677A01AF879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Input" sheetId="1" r:id="rId1"/>
    <sheet name="Setting" sheetId="3" r:id="rId2"/>
    <sheet name="Dashboard" sheetId="2" r:id="rId3"/>
    <sheet name="User Guide" sheetId="4" r:id="rId4"/>
  </sheets>
  <externalReferences>
    <externalReference r:id="rId5"/>
  </externalReferenc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2" l="1"/>
  <c r="F5" i="2"/>
  <c r="D5" i="2"/>
  <c r="F4" i="2" l="1"/>
  <c r="E4" i="2"/>
  <c r="D4" i="2"/>
  <c r="F3" i="2"/>
  <c r="E3" i="2"/>
  <c r="D3" i="2"/>
  <c r="B2" i="2"/>
  <c r="B3" i="3"/>
  <c r="H4" i="2" l="1"/>
  <c r="G4" i="2" s="1"/>
  <c r="H5" i="2"/>
  <c r="G5" i="2" s="1"/>
  <c r="H3" i="2"/>
  <c r="G3" i="2" s="1"/>
  <c r="B3" i="2" l="1"/>
  <c r="B5" i="2"/>
  <c r="B4" i="2"/>
</calcChain>
</file>

<file path=xl/sharedStrings.xml><?xml version="1.0" encoding="utf-8"?>
<sst xmlns="http://schemas.openxmlformats.org/spreadsheetml/2006/main" count="36" uniqueCount="34">
  <si>
    <t>Project Name</t>
  </si>
  <si>
    <t>Start Date</t>
  </si>
  <si>
    <t>End Date</t>
  </si>
  <si>
    <t>Budget ($)</t>
  </si>
  <si>
    <t>% Complete</t>
  </si>
  <si>
    <t>Spent ($)</t>
  </si>
  <si>
    <t>VALUE</t>
  </si>
  <si>
    <t>PARAMETR</t>
  </si>
  <si>
    <t>Currency Symbol</t>
  </si>
  <si>
    <t>Today's Date</t>
  </si>
  <si>
    <t>Risk Threshod (%)</t>
  </si>
  <si>
    <t>Dlay Toerance (days)</t>
  </si>
  <si>
    <t>$</t>
  </si>
  <si>
    <t>Total Project</t>
  </si>
  <si>
    <t>On Track</t>
  </si>
  <si>
    <t>At Risk</t>
  </si>
  <si>
    <t>Budget Utilization</t>
  </si>
  <si>
    <t>Complete</t>
  </si>
  <si>
    <t>Status</t>
  </si>
  <si>
    <t>Days Left</t>
  </si>
  <si>
    <t>Project Health Tracker – User Guide</t>
  </si>
  <si>
    <t>📌 How to Use:</t>
  </si>
  <si>
    <t xml:space="preserve">   - Use format YYYY-MM-DD for dates.</t>
  </si>
  <si>
    <t xml:space="preserve">   - Enter % Complete as a number (e.g., 60, not 60%).</t>
  </si>
  <si>
    <t>⚙️ Settings:</t>
  </si>
  <si>
    <t>- You can adjust risk thresholds in the "Settings" sheet.</t>
  </si>
  <si>
    <t>- Currency symbol is displayed as "$" (can be changed in Settings).</t>
  </si>
  <si>
    <t>💡 Tip: This template works best with Excel 2016 or newer (Windows/Mac).</t>
  </si>
  <si>
    <t>© 2025 – Designed for international project managers.</t>
  </si>
  <si>
    <r>
      <rPr>
        <b/>
        <sz val="12"/>
        <color rgb="FFC00000"/>
        <rFont val="Arial"/>
        <family val="2"/>
        <scheme val="minor"/>
      </rPr>
      <t>1.</t>
    </r>
    <r>
      <rPr>
        <sz val="12"/>
        <color theme="1"/>
        <rFont val="Arial"/>
        <family val="2"/>
        <scheme val="minor"/>
      </rPr>
      <t xml:space="preserve"> Go to the "Input" sheet and enter your project data.</t>
    </r>
  </si>
  <si>
    <r>
      <rPr>
        <b/>
        <sz val="12"/>
        <color rgb="FFC00000"/>
        <rFont val="Arial"/>
        <family val="2"/>
        <scheme val="minor"/>
      </rPr>
      <t>2.</t>
    </r>
    <r>
      <rPr>
        <sz val="12"/>
        <color theme="1"/>
        <rFont val="Arial"/>
        <family val="2"/>
        <scheme val="minor"/>
      </rPr>
      <t xml:space="preserve"> Click "Update Report" on the Dashboard to refresh calculations and colors.</t>
    </r>
  </si>
  <si>
    <r>
      <rPr>
        <b/>
        <sz val="12"/>
        <color rgb="FFC00000"/>
        <rFont val="Arial"/>
        <family val="2"/>
        <scheme val="minor"/>
      </rPr>
      <t>3.</t>
    </r>
    <r>
      <rPr>
        <sz val="12"/>
        <color theme="1"/>
        <rFont val="Arial"/>
        <family val="2"/>
        <scheme val="minor"/>
      </rPr>
      <t xml:space="preserve"> Click "Export to PDF" to save a professional report.</t>
    </r>
  </si>
  <si>
    <t>Project Tracker</t>
  </si>
  <si>
    <t>https://sbmousavices.github.io/Industrial-Tools/index_farsi.html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</si>
</sst>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yyyy\-mm\-dd;@"/>
  </numFmts>
  <fonts count="11" x14ac:knownFonts="1">
    <font>
      <sz val="11"/>
      <color theme="1"/>
      <name val="Arial"/>
      <family val="2"/>
      <scheme val="minor"/>
    </font>
    <font>
      <sz val="11"/>
      <color rgb="FF000000"/>
      <name val="Arial"/>
      <family val="2"/>
    </font>
    <font>
      <sz val="12"/>
      <color theme="1"/>
      <name val="Arial"/>
      <family val="2"/>
      <scheme val="minor"/>
    </font>
    <font>
      <sz val="14"/>
      <color theme="1"/>
      <name val="Arial"/>
      <family val="2"/>
      <scheme val="minor"/>
    </font>
    <font>
      <sz val="36"/>
      <color rgb="FFC00000"/>
      <name val="Arial"/>
      <family val="2"/>
      <scheme val="minor"/>
    </font>
    <font>
      <b/>
      <sz val="20"/>
      <color rgb="FFC00000"/>
      <name val="Arial"/>
      <family val="2"/>
      <scheme val="minor"/>
    </font>
    <font>
      <b/>
      <sz val="12"/>
      <color rgb="FFC00000"/>
      <name val="Arial"/>
      <family val="2"/>
      <scheme val="minor"/>
    </font>
    <font>
      <sz val="36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u/>
      <sz val="11"/>
      <color theme="10"/>
      <name val="Arial"/>
      <family val="2"/>
      <scheme val="minor"/>
    </font>
    <font>
      <b/>
      <u/>
      <sz val="14"/>
      <color rgb="FFC00000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indent="3"/>
    </xf>
    <xf numFmtId="0" fontId="2" fillId="0" borderId="0" xfId="0" applyFont="1"/>
    <xf numFmtId="0" fontId="2" fillId="0" borderId="0" xfId="0" applyFont="1" applyAlignment="1">
      <alignment horizontal="left" vertical="center" indent="4"/>
    </xf>
    <xf numFmtId="0" fontId="3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 % Complete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a-I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  <a:scene3d>
              <a:camera prst="orthographicFront"/>
              <a:lightRig rig="contrasting" dir="t"/>
            </a:scene3d>
            <a:sp3d prstMaterial="dkEdge">
              <a:bevelT/>
              <a:bevelB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fa-I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Dashboard!$D$3:$D$4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Dashboard!$F$3:$F$4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17-4439-8C09-0C3EC14874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935471087"/>
        <c:axId val="935475407"/>
      </c:barChart>
      <c:catAx>
        <c:axId val="9354710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a-IR"/>
          </a:p>
        </c:txPr>
        <c:crossAx val="935475407"/>
        <c:crosses val="autoZero"/>
        <c:auto val="1"/>
        <c:lblAlgn val="ctr"/>
        <c:lblOffset val="100"/>
        <c:noMultiLvlLbl val="0"/>
      </c:catAx>
      <c:valAx>
        <c:axId val="9354754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a-IR"/>
          </a:p>
        </c:txPr>
        <c:crossAx val="935471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78441</xdr:colOff>
      <xdr:row>0</xdr:row>
      <xdr:rowOff>19048</xdr:rowOff>
    </xdr:from>
    <xdr:to>
      <xdr:col>20</xdr:col>
      <xdr:colOff>456639</xdr:colOff>
      <xdr:row>4</xdr:row>
      <xdr:rowOff>728381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8E15E2-6E21-4226-68AF-C30ECFD5B4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0</xdr:row>
          <xdr:rowOff>171450</xdr:rowOff>
        </xdr:from>
        <xdr:to>
          <xdr:col>6</xdr:col>
          <xdr:colOff>219075</xdr:colOff>
          <xdr:row>0</xdr:row>
          <xdr:rowOff>695325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0</xdr:row>
          <xdr:rowOff>161925</xdr:rowOff>
        </xdr:from>
        <xdr:to>
          <xdr:col>7</xdr:col>
          <xdr:colOff>276225</xdr:colOff>
          <xdr:row>0</xdr:row>
          <xdr:rowOff>685800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18</xdr:row>
      <xdr:rowOff>142875</xdr:rowOff>
    </xdr:from>
    <xdr:to>
      <xdr:col>0</xdr:col>
      <xdr:colOff>733425</xdr:colOff>
      <xdr:row>20</xdr:row>
      <xdr:rowOff>123825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D39194D-89BA-EA21-67D2-6EA1FE1F5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467350"/>
          <a:ext cx="6953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tting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"/>
      <sheetName val="Daily Input"/>
      <sheetName val="Dashboard"/>
      <sheetName val="User Guide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bmousavices.github.io/Industrial-Tools/index_farsi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F3"/>
  <sheetViews>
    <sheetView workbookViewId="0">
      <selection activeCell="F34" sqref="F34"/>
    </sheetView>
  </sheetViews>
  <sheetFormatPr defaultRowHeight="14.25" x14ac:dyDescent="0.2"/>
  <cols>
    <col min="1" max="1" width="15" style="1" bestFit="1" customWidth="1"/>
    <col min="2" max="6" width="13.375" style="1" customWidth="1"/>
    <col min="7" max="16384" width="9" style="1"/>
  </cols>
  <sheetData>
    <row r="1" spans="1: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4</v>
      </c>
    </row>
    <row r="2" spans="1:6" x14ac:dyDescent="0.2">
      <c r="B2" s="2"/>
      <c r="C2" s="2"/>
    </row>
    <row r="3" spans="1:6" x14ac:dyDescent="0.2">
      <c r="B3" s="2"/>
      <c r="C3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707E-EB84-4CF7-90FD-69B16AC453A1}">
  <sheetPr codeName="Sheet2">
    <tabColor rgb="FFC00000"/>
  </sheetPr>
  <dimension ref="A1:B5"/>
  <sheetViews>
    <sheetView workbookViewId="0">
      <selection activeCell="B5" sqref="B5"/>
    </sheetView>
  </sheetViews>
  <sheetFormatPr defaultRowHeight="14.25" x14ac:dyDescent="0.2"/>
  <cols>
    <col min="1" max="2" width="18.5" style="1" customWidth="1"/>
    <col min="3" max="16384" width="9" style="1"/>
  </cols>
  <sheetData>
    <row r="1" spans="1:2" x14ac:dyDescent="0.2">
      <c r="A1" s="1" t="s">
        <v>7</v>
      </c>
      <c r="B1" s="1" t="s">
        <v>6</v>
      </c>
    </row>
    <row r="2" spans="1:2" x14ac:dyDescent="0.2">
      <c r="A2" s="1" t="s">
        <v>8</v>
      </c>
      <c r="B2" s="1" t="s">
        <v>12</v>
      </c>
    </row>
    <row r="3" spans="1:2" x14ac:dyDescent="0.2">
      <c r="A3" s="1" t="s">
        <v>9</v>
      </c>
      <c r="B3" s="2">
        <f ca="1">TODAY()</f>
        <v>46003</v>
      </c>
    </row>
    <row r="4" spans="1:2" x14ac:dyDescent="0.2">
      <c r="A4" s="1" t="s">
        <v>10</v>
      </c>
      <c r="B4" s="1">
        <v>80</v>
      </c>
    </row>
    <row r="5" spans="1:2" x14ac:dyDescent="0.2">
      <c r="A5" s="1" t="s">
        <v>11</v>
      </c>
      <c r="B5" s="1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2A385-50CE-4DE9-9990-E479BF6097A5}">
  <sheetPr codeName="Sheet3">
    <tabColor rgb="FFC00000"/>
    <pageSetUpPr fitToPage="1"/>
  </sheetPr>
  <dimension ref="A1:I5"/>
  <sheetViews>
    <sheetView showGridLines="0" zoomScale="85" zoomScaleNormal="85" workbookViewId="0">
      <selection activeCell="C2" sqref="C2"/>
    </sheetView>
  </sheetViews>
  <sheetFormatPr defaultRowHeight="14.25" x14ac:dyDescent="0.2"/>
  <cols>
    <col min="1" max="1" width="20.125" style="1" customWidth="1"/>
    <col min="2" max="8" width="18.375" style="1" customWidth="1"/>
    <col min="9" max="9" width="10.25" style="1" customWidth="1"/>
    <col min="10" max="16384" width="9" style="1"/>
  </cols>
  <sheetData>
    <row r="1" spans="1:9" ht="103.5" customHeight="1" x14ac:dyDescent="0.2">
      <c r="A1" s="10"/>
      <c r="B1" s="11"/>
      <c r="C1" s="13" t="s">
        <v>32</v>
      </c>
      <c r="D1" s="12"/>
      <c r="E1" s="12"/>
      <c r="F1" s="12"/>
      <c r="G1" s="12"/>
      <c r="H1" s="12"/>
      <c r="I1" s="12"/>
    </row>
    <row r="2" spans="1:9" ht="99" customHeight="1" x14ac:dyDescent="0.2">
      <c r="A2" s="16" t="s">
        <v>13</v>
      </c>
      <c r="B2" s="16">
        <f>COUNTA(Input!A:A)-1</f>
        <v>0</v>
      </c>
      <c r="C2" s="16"/>
      <c r="D2" s="16" t="s">
        <v>0</v>
      </c>
      <c r="E2" s="16" t="s">
        <v>2</v>
      </c>
      <c r="F2" s="16" t="s">
        <v>17</v>
      </c>
      <c r="G2" s="17" t="s">
        <v>18</v>
      </c>
      <c r="H2" s="16" t="s">
        <v>19</v>
      </c>
      <c r="I2" s="14"/>
    </row>
    <row r="3" spans="1:9" ht="57" customHeight="1" x14ac:dyDescent="0.2">
      <c r="A3" s="10" t="s">
        <v>14</v>
      </c>
      <c r="B3" s="10">
        <f ca="1">IFERROR(COUNTIF(G:G,"On Track"),0)</f>
        <v>0</v>
      </c>
      <c r="C3" s="10"/>
      <c r="D3" s="10">
        <f>Input!A2</f>
        <v>0</v>
      </c>
      <c r="E3" s="15">
        <f>Input!C2</f>
        <v>0</v>
      </c>
      <c r="F3" s="10">
        <f>Input!F2</f>
        <v>0</v>
      </c>
      <c r="G3" s="18" t="str">
        <f ca="1">IF(OR(H3 &lt; -'[1]Daily Input'!B5, Input!E2 &gt; Input!D2 * 1.2), "At Risk", "On Track")</f>
        <v>At Risk</v>
      </c>
      <c r="H3" s="10">
        <f ca="1">Input!C2-Setting!$B$3</f>
        <v>-46003</v>
      </c>
      <c r="I3" s="14"/>
    </row>
    <row r="4" spans="1:9" ht="57" customHeight="1" x14ac:dyDescent="0.2">
      <c r="A4" s="10" t="s">
        <v>15</v>
      </c>
      <c r="B4" s="10">
        <f t="shared" ref="B4:B5" ca="1" si="0">IFERROR(COUNTIF(G:G,"On Track"),0)</f>
        <v>0</v>
      </c>
      <c r="C4" s="10"/>
      <c r="D4" s="10">
        <f>Input!A3</f>
        <v>0</v>
      </c>
      <c r="E4" s="15">
        <f>Input!C3</f>
        <v>0</v>
      </c>
      <c r="F4" s="10">
        <f>Input!F3</f>
        <v>0</v>
      </c>
      <c r="G4" s="18" t="str">
        <f ca="1">IF(OR(H4 &lt; -'[1]Daily Input'!B6, Input!E3 &gt; Input!D3 * 1.2), "At Risk", "On Track")</f>
        <v>At Risk</v>
      </c>
      <c r="H4" s="10">
        <f ca="1">Input!C3-Setting!$B$3</f>
        <v>-46003</v>
      </c>
      <c r="I4" s="14"/>
    </row>
    <row r="5" spans="1:9" ht="57" customHeight="1" x14ac:dyDescent="0.2">
      <c r="A5" s="10" t="s">
        <v>16</v>
      </c>
      <c r="B5" s="10">
        <f t="shared" ca="1" si="0"/>
        <v>0</v>
      </c>
      <c r="C5" s="10"/>
      <c r="D5" s="10">
        <f>Input!A4</f>
        <v>0</v>
      </c>
      <c r="E5" s="15">
        <f>Input!C4</f>
        <v>0</v>
      </c>
      <c r="F5" s="10">
        <f>Input!F4</f>
        <v>0</v>
      </c>
      <c r="G5" s="18" t="str">
        <f ca="1">IF(OR(H5 &lt; -'[1]Daily Input'!B7, Input!E4 &gt; Input!D4 * 1.2), "At Risk", "On Track")</f>
        <v>At Risk</v>
      </c>
      <c r="H5" s="10">
        <f ca="1">Input!C4-Setting!$B$3</f>
        <v>-46003</v>
      </c>
      <c r="I5" s="14"/>
    </row>
  </sheetData>
  <pageMargins left="0.7" right="0.7" top="0.75" bottom="0.75" header="0.3" footer="0.3"/>
  <pageSetup paperSize="9" scale="4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Report">
                <anchor moveWithCells="1" sizeWithCells="1">
                  <from>
                    <xdr:col>5</xdr:col>
                    <xdr:colOff>400050</xdr:colOff>
                    <xdr:row>0</xdr:row>
                    <xdr:rowOff>171450</xdr:rowOff>
                  </from>
                  <to>
                    <xdr:col>6</xdr:col>
                    <xdr:colOff>219075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portToPDF">
                <anchor moveWithCells="1" sizeWithCells="1">
                  <from>
                    <xdr:col>6</xdr:col>
                    <xdr:colOff>466725</xdr:colOff>
                    <xdr:row>0</xdr:row>
                    <xdr:rowOff>161925</xdr:rowOff>
                  </from>
                  <to>
                    <xdr:col>7</xdr:col>
                    <xdr:colOff>276225</xdr:colOff>
                    <xdr:row>0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F84BE-DECC-4AF4-A987-F4BEF48AC4AD}">
  <sheetPr codeName="Sheet4">
    <tabColor rgb="FFFFFF00"/>
  </sheetPr>
  <dimension ref="A1:A24"/>
  <sheetViews>
    <sheetView showGridLines="0" tabSelected="1" workbookViewId="0">
      <selection activeCell="D13" sqref="D13"/>
    </sheetView>
  </sheetViews>
  <sheetFormatPr defaultRowHeight="14.25" x14ac:dyDescent="0.2"/>
  <cols>
    <col min="1" max="1" width="101.375" bestFit="1" customWidth="1"/>
  </cols>
  <sheetData>
    <row r="1" spans="1:1" ht="94.5" customHeight="1" x14ac:dyDescent="0.2">
      <c r="A1" s="3" t="s">
        <v>20</v>
      </c>
    </row>
    <row r="3" spans="1:1" ht="26.25" x14ac:dyDescent="0.2">
      <c r="A3" s="6" t="s">
        <v>21</v>
      </c>
    </row>
    <row r="4" spans="1:1" ht="18" customHeight="1" x14ac:dyDescent="0.2">
      <c r="A4" s="9" t="s">
        <v>29</v>
      </c>
    </row>
    <row r="5" spans="1:1" ht="18" customHeight="1" x14ac:dyDescent="0.2">
      <c r="A5" s="9" t="s">
        <v>22</v>
      </c>
    </row>
    <row r="6" spans="1:1" ht="18" customHeight="1" x14ac:dyDescent="0.2">
      <c r="A6" s="9" t="s">
        <v>23</v>
      </c>
    </row>
    <row r="7" spans="1:1" ht="18" customHeight="1" x14ac:dyDescent="0.2">
      <c r="A7" s="9"/>
    </row>
    <row r="8" spans="1:1" ht="18" customHeight="1" x14ac:dyDescent="0.2">
      <c r="A8" s="9" t="s">
        <v>30</v>
      </c>
    </row>
    <row r="9" spans="1:1" ht="18" customHeight="1" x14ac:dyDescent="0.2">
      <c r="A9" s="9"/>
    </row>
    <row r="10" spans="1:1" ht="18" customHeight="1" x14ac:dyDescent="0.2">
      <c r="A10" s="9" t="s">
        <v>31</v>
      </c>
    </row>
    <row r="11" spans="1:1" ht="18" customHeight="1" x14ac:dyDescent="0.2">
      <c r="A11" s="4"/>
    </row>
    <row r="12" spans="1:1" ht="18" customHeight="1" x14ac:dyDescent="0.2">
      <c r="A12" s="6" t="s">
        <v>24</v>
      </c>
    </row>
    <row r="13" spans="1:1" ht="18" customHeight="1" x14ac:dyDescent="0.2">
      <c r="A13" s="7" t="s">
        <v>25</v>
      </c>
    </row>
    <row r="14" spans="1:1" ht="18" customHeight="1" x14ac:dyDescent="0.2">
      <c r="A14" s="7" t="s">
        <v>26</v>
      </c>
    </row>
    <row r="15" spans="1:1" ht="18" customHeight="1" x14ac:dyDescent="0.2">
      <c r="A15" s="7"/>
    </row>
    <row r="16" spans="1:1" ht="18" customHeight="1" x14ac:dyDescent="0.2">
      <c r="A16" s="7" t="s">
        <v>27</v>
      </c>
    </row>
    <row r="17" spans="1:1" ht="18" customHeight="1" x14ac:dyDescent="0.2">
      <c r="A17" s="8"/>
    </row>
    <row r="18" spans="1:1" ht="32.25" customHeight="1" x14ac:dyDescent="0.2">
      <c r="A18" s="5" t="s">
        <v>28</v>
      </c>
    </row>
    <row r="20" spans="1:1" ht="18" x14ac:dyDescent="0.2">
      <c r="A20" s="20" t="s">
        <v>33</v>
      </c>
    </row>
    <row r="24" spans="1:1" x14ac:dyDescent="0.2">
      <c r="A24" s="19"/>
    </row>
  </sheetData>
  <sheetProtection sheet="1" objects="1" scenarios="1"/>
  <hyperlinks>
    <hyperlink ref="A20" r:id="rId1" xr:uid="{FCE80F0D-FA74-4D54-878B-09DB455163EB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Setting</vt:lpstr>
      <vt:lpstr>Dashboard</vt:lpstr>
      <vt:lpstr>User Guide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سید بهزاد موسوی</dc:creator>
  <cp:lastModifiedBy>سید بهزاد موسوی</cp:lastModifiedBy>
  <cp:lastPrinted>2025-11-30T19:59:04Z</cp:lastPrinted>
  <dcterms:created xsi:type="dcterms:W3CDTF">2015-06-05T18:17:20Z</dcterms:created>
  <dcterms:modified xsi:type="dcterms:W3CDTF">2025-12-12T18:19:06Z</dcterms:modified>
</cp:coreProperties>
</file>